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o gia" sheetId="1" state="visible" r:id="rId1"/>
  </sheets>
  <definedNames>
    <definedName name="_xlnm.Print_Titles" localSheetId="0">'Bao gia'!$9:$9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sz val="16"/>
    </font>
    <font>
      <b val="1"/>
    </font>
    <font/>
    <font>
      <i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/>
    </xf>
    <xf numFmtId="0" fontId="0" fillId="0" borderId="1" pivotButton="0" quotePrefix="0" xfId="0"/>
    <xf numFmtId="3" fontId="4" fillId="0" borderId="1" pivotButton="0" quotePrefix="0" xfId="0"/>
    <xf numFmtId="0" fontId="3" fillId="0" borderId="1" applyAlignment="1" pivotButton="0" quotePrefix="0" xfId="0">
      <alignment horizontal="right"/>
    </xf>
    <xf numFmtId="3" fontId="3" fillId="0" borderId="1" pivotButton="0" quotePrefix="0" xfId="0"/>
    <xf numFmtId="0" fontId="5" fillId="0" borderId="0" pivotButton="0" quotePrefix="0" xfId="0"/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47</row>
      <rowOff>0</rowOff>
    </from>
    <ext cx="1047750" cy="66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44" customWidth="1" min="4" max="4"/>
    <col width="8" customWidth="1" min="5" max="5"/>
    <col width="8" customWidth="1" min="6" max="6"/>
    <col width="14" customWidth="1" min="7" max="7"/>
    <col width="16" customWidth="1" min="8" max="8"/>
    <col width="12" customWidth="1" min="9" max="9"/>
  </cols>
  <sheetData>
    <row r="1">
      <c r="C1" s="1" t="inlineStr">
        <is>
          <t>CÔNG TY TNHH THIẾT BỊ ĐIỆN ABC</t>
        </is>
      </c>
    </row>
    <row r="2">
      <c r="C2" t="inlineStr">
        <is>
          <t>Địa chỉ: 123 Đường Láng, Đống Đa, Hà Nội - ĐT: 024 1234 5678</t>
        </is>
      </c>
    </row>
    <row r="3">
      <c r="C3" t="inlineStr">
        <is>
          <t>Email: kinhdoanh@abc-example.vn</t>
        </is>
      </c>
    </row>
    <row r="5">
      <c r="A5" s="2" t="inlineStr">
        <is>
          <t>BẢNG BÁO GIÁ THIẾT BỊ</t>
        </is>
      </c>
    </row>
    <row r="6">
      <c r="A6" t="inlineStr">
        <is>
          <t>Kính gửi:</t>
        </is>
      </c>
      <c r="C6" t="inlineStr">
        <is>
          <t>Công ty CP Xây dựng XYZ</t>
        </is>
      </c>
    </row>
    <row r="7">
      <c r="A7" t="inlineStr">
        <is>
          <t>Ngày:</t>
        </is>
      </c>
      <c r="C7" t="inlineStr">
        <is>
          <t>14/10/2026</t>
        </is>
      </c>
    </row>
    <row r="9" ht="30" customHeight="1">
      <c r="A9" s="3" t="inlineStr">
        <is>
          <t>STT</t>
        </is>
      </c>
      <c r="B9" s="3" t="inlineStr">
        <is>
          <t>Mã hàng</t>
        </is>
      </c>
      <c r="C9" s="3" t="inlineStr">
        <is>
          <t>Tên hàng hóa</t>
        </is>
      </c>
      <c r="D9" s="3" t="inlineStr">
        <is>
          <t>Thông số kỹ thuật</t>
        </is>
      </c>
      <c r="E9" s="3" t="inlineStr">
        <is>
          <t>ĐVT</t>
        </is>
      </c>
      <c r="F9" s="3" t="inlineStr">
        <is>
          <t>SL</t>
        </is>
      </c>
      <c r="G9" s="3" t="inlineStr">
        <is>
          <t>Đơn giá</t>
        </is>
      </c>
      <c r="H9" s="3" t="inlineStr">
        <is>
          <t>Thành tiền</t>
        </is>
      </c>
      <c r="I9" s="3" t="inlineStr">
        <is>
          <t>Xuất xứ</t>
        </is>
      </c>
    </row>
    <row r="10">
      <c r="A10" s="4" t="n">
        <v>1</v>
      </c>
      <c r="B10" s="5" t="inlineStr">
        <is>
          <t>DT-AC220</t>
        </is>
      </c>
      <c r="C10" s="5" t="inlineStr">
        <is>
          <t>Aptomat 1 pha 2P 32A</t>
        </is>
      </c>
      <c r="D10" s="5" t="inlineStr">
        <is>
          <t>Dòng định mức 32A; Điện áp 230/400VAC; Dòng cắt 6kA; Tiêu chuẩn IEC 60898</t>
        </is>
      </c>
      <c r="E10" s="4" t="inlineStr">
        <is>
          <t>Cái</t>
        </is>
      </c>
      <c r="F10" s="4" t="n">
        <v>4</v>
      </c>
      <c r="G10" s="6" t="n">
        <v>480000</v>
      </c>
      <c r="H10" s="6">
        <f>F10*G10</f>
        <v/>
      </c>
      <c r="I10" s="4" t="inlineStr">
        <is>
          <t>Pháp</t>
        </is>
      </c>
    </row>
    <row r="11">
      <c r="A11" s="4" t="n">
        <v>2</v>
      </c>
      <c r="B11" s="5" t="inlineStr">
        <is>
          <t>DT-AC440</t>
        </is>
      </c>
      <c r="C11" s="5" t="inlineStr">
        <is>
          <t>Aptomat 3 pha 3P 63A</t>
        </is>
      </c>
      <c r="D11" s="5" t="inlineStr">
        <is>
          <t>Dòng định mức 63A; Điện áp 400VAC; Dòng cắt 10kA</t>
        </is>
      </c>
      <c r="E11" s="4" t="inlineStr">
        <is>
          <t>Cái</t>
        </is>
      </c>
      <c r="F11" s="4" t="n">
        <v>2</v>
      </c>
      <c r="G11" s="6" t="n">
        <v>1650000</v>
      </c>
      <c r="H11" s="6">
        <f>F11*G11</f>
        <v/>
      </c>
      <c r="I11" s="4" t="inlineStr">
        <is>
          <t>Pháp</t>
        </is>
      </c>
    </row>
    <row r="12">
      <c r="A12" s="4" t="n">
        <v>3</v>
      </c>
      <c r="B12" s="5" t="inlineStr">
        <is>
          <t>NG-5V2A</t>
        </is>
      </c>
      <c r="C12" s="5" t="inlineStr">
        <is>
          <t>Bộ nguồn adapter 5V 2A</t>
        </is>
      </c>
      <c r="D12" s="5" t="inlineStr">
        <is>
          <t>Đầu vào 100-240VAC 50/60Hz; Đầu ra 5V DC 2A; Jack DC 5.5x2.1mm</t>
        </is>
      </c>
      <c r="E12" s="4" t="inlineStr">
        <is>
          <t>Cái</t>
        </is>
      </c>
      <c r="F12" s="4" t="n">
        <v>5</v>
      </c>
      <c r="G12" s="6" t="n">
        <v>85000</v>
      </c>
      <c r="H12" s="6">
        <f>F12*G12</f>
        <v/>
      </c>
      <c r="I12" s="4" t="inlineStr">
        <is>
          <t>Trung Quốc</t>
        </is>
      </c>
    </row>
    <row r="13">
      <c r="A13" s="4" t="n">
        <v>4</v>
      </c>
      <c r="B13" s="5" t="inlineStr">
        <is>
          <t>NG-12V5A</t>
        </is>
      </c>
      <c r="C13" s="5" t="inlineStr">
        <is>
          <t>Bộ nguồn tổ ong 12V 5A</t>
        </is>
      </c>
      <c r="D13" s="5" t="inlineStr">
        <is>
          <t>Đầu vào 220VAC; Đầu ra 12V DC 5A 60W; Có quạt tản nhiệt</t>
        </is>
      </c>
      <c r="E13" s="4" t="inlineStr">
        <is>
          <t>Cái</t>
        </is>
      </c>
      <c r="F13" s="4" t="n">
        <v>20</v>
      </c>
      <c r="G13" s="6" t="n">
        <v>210000</v>
      </c>
      <c r="H13" s="6">
        <f>F13*G13</f>
        <v/>
      </c>
      <c r="I13" s="4" t="inlineStr">
        <is>
          <t>Trung Quốc</t>
        </is>
      </c>
    </row>
    <row r="14">
      <c r="A14" s="4" t="n">
        <v>5</v>
      </c>
      <c r="B14" s="5" t="inlineStr">
        <is>
          <t>NG-24V10A</t>
        </is>
      </c>
      <c r="C14" s="5" t="inlineStr">
        <is>
          <t>Bộ nguồn tổ ong 24V 10A</t>
        </is>
      </c>
      <c r="D14" s="5" t="inlineStr">
        <is>
          <t>Đầu vào 220VAC; Đầu ra 24V DC 10A 240W</t>
        </is>
      </c>
      <c r="E14" s="4" t="inlineStr">
        <is>
          <t>Cái</t>
        </is>
      </c>
      <c r="F14" s="4" t="n">
        <v>1</v>
      </c>
      <c r="G14" s="6" t="n">
        <v>520000</v>
      </c>
      <c r="H14" s="6">
        <f>F14*G14</f>
        <v/>
      </c>
      <c r="I14" s="4" t="inlineStr">
        <is>
          <t>Đài Loan</t>
        </is>
      </c>
    </row>
    <row r="15">
      <c r="A15" s="4" t="n">
        <v>6</v>
      </c>
      <c r="B15" s="5" t="inlineStr">
        <is>
          <t>CB-CO2</t>
        </is>
      </c>
      <c r="C15" s="5" t="inlineStr">
        <is>
          <t>Cảm biến khí CO2 NDIR</t>
        </is>
      </c>
      <c r="D15" s="5" t="inlineStr">
        <is>
          <t>Dải đo 0-5000ppm; Nguồn 5V DC; Ngõ ra UART/PWM</t>
        </is>
      </c>
      <c r="E15" s="4" t="inlineStr">
        <is>
          <t>Cái</t>
        </is>
      </c>
      <c r="F15" s="4" t="n">
        <v>1</v>
      </c>
      <c r="G15" s="6" t="n">
        <v>950000</v>
      </c>
      <c r="H15" s="6">
        <f>F15*G15</f>
        <v/>
      </c>
      <c r="I15" s="4" t="inlineStr">
        <is>
          <t>Hàn Quốc</t>
        </is>
      </c>
    </row>
    <row r="16">
      <c r="A16" s="4" t="n">
        <v>7</v>
      </c>
      <c r="B16" s="5" t="inlineStr">
        <is>
          <t>CB-NH01</t>
        </is>
      </c>
      <c r="C16" s="5" t="inlineStr">
        <is>
          <t>Cảm biến nhiệt độ độ ẩm</t>
        </is>
      </c>
      <c r="D16" s="5" t="inlineStr">
        <is>
          <t>Nhiệt độ -40~80°C ±0.3°C; Độ ẩm 0-100%RH; Nguồn 3.3-5V; RS485 Modbus</t>
        </is>
      </c>
      <c r="E16" s="4" t="inlineStr">
        <is>
          <t>Cái</t>
        </is>
      </c>
      <c r="F16" s="4" t="n">
        <v>10</v>
      </c>
      <c r="G16" s="6" t="n">
        <v>620000</v>
      </c>
      <c r="H16" s="6">
        <f>F16*G16</f>
        <v/>
      </c>
      <c r="I16" s="4" t="inlineStr">
        <is>
          <t>Đức</t>
        </is>
      </c>
    </row>
    <row r="17">
      <c r="A17" s="4" t="n">
        <v>8</v>
      </c>
      <c r="B17" s="5" t="inlineStr">
        <is>
          <t>CB-AS10</t>
        </is>
      </c>
      <c r="C17" s="5" t="inlineStr">
        <is>
          <t>Cảm biến ánh sáng</t>
        </is>
      </c>
      <c r="D17" s="5" t="inlineStr">
        <is>
          <t>Dải đo 0-65535 lux; Nguồn 12-24V DC; Ngõ ra 4-20mA</t>
        </is>
      </c>
      <c r="E17" s="4" t="inlineStr">
        <is>
          <t>Cái</t>
        </is>
      </c>
      <c r="F17" s="4" t="n">
        <v>1</v>
      </c>
      <c r="G17" s="6" t="n">
        <v>780000</v>
      </c>
      <c r="H17" s="6">
        <f>F17*G17</f>
        <v/>
      </c>
      <c r="I17" s="4" t="inlineStr">
        <is>
          <t>Đức</t>
        </is>
      </c>
    </row>
    <row r="18">
      <c r="A18" s="4" t="n">
        <v>9</v>
      </c>
      <c r="B18" s="5" t="inlineStr">
        <is>
          <t>CT-TX01</t>
        </is>
      </c>
      <c r="C18" s="5" t="inlineStr">
        <is>
          <t>Công tắc tơ 3 pha 25A</t>
        </is>
      </c>
      <c r="D18" s="5" t="inlineStr">
        <is>
          <t>Dòng 25A AC3; Cuộn hút 220VAC; 1NO+1NC</t>
        </is>
      </c>
      <c r="E18" s="4" t="inlineStr">
        <is>
          <t>Cái</t>
        </is>
      </c>
      <c r="F18" s="4" t="n">
        <v>4</v>
      </c>
      <c r="G18" s="6" t="n">
        <v>390000</v>
      </c>
      <c r="H18" s="6">
        <f>F18*G18</f>
        <v/>
      </c>
      <c r="I18" s="4" t="inlineStr">
        <is>
          <t>Nhật Bản</t>
        </is>
      </c>
    </row>
    <row r="19">
      <c r="A19" s="4" t="n">
        <v>10</v>
      </c>
      <c r="B19" s="5" t="inlineStr">
        <is>
          <t>CT-TX02</t>
        </is>
      </c>
      <c r="C19" s="5" t="inlineStr">
        <is>
          <t>Công tắc tơ 3 pha 40A</t>
        </is>
      </c>
      <c r="D19" s="5" t="inlineStr">
        <is>
          <t>Dòng 40A AC3; Cuộn hút 220VAC; 1NO+1NC</t>
        </is>
      </c>
      <c r="E19" s="4" t="inlineStr">
        <is>
          <t>Cái</t>
        </is>
      </c>
      <c r="F19" s="4" t="n">
        <v>10</v>
      </c>
      <c r="G19" s="6" t="n">
        <v>720000</v>
      </c>
      <c r="H19" s="6">
        <f>F19*G19</f>
        <v/>
      </c>
      <c r="I19" s="4" t="inlineStr">
        <is>
          <t>Nhật Bản</t>
        </is>
      </c>
    </row>
    <row r="20">
      <c r="A20" s="4" t="n">
        <v>11</v>
      </c>
      <c r="B20" s="5" t="inlineStr">
        <is>
          <t>RL-8P24</t>
        </is>
      </c>
      <c r="C20" s="5" t="inlineStr">
        <is>
          <t>Rơ le trung gian 8 chân 24V</t>
        </is>
      </c>
      <c r="D20" s="5" t="inlineStr">
        <is>
          <t>Cuộn hút 24V DC; Tiếp điểm 2CO 5A 250VAC; Kèm đế</t>
        </is>
      </c>
      <c r="E20" s="4" t="inlineStr">
        <is>
          <t>Cái</t>
        </is>
      </c>
      <c r="F20" s="4" t="n">
        <v>1</v>
      </c>
      <c r="G20" s="6" t="n">
        <v>65000</v>
      </c>
      <c r="H20" s="6">
        <f>F20*G20</f>
        <v/>
      </c>
      <c r="I20" s="4" t="inlineStr">
        <is>
          <t>Nhật Bản</t>
        </is>
      </c>
    </row>
    <row r="21">
      <c r="A21" s="4" t="n">
        <v>12</v>
      </c>
      <c r="B21" s="5" t="inlineStr">
        <is>
          <t>RL-14P220</t>
        </is>
      </c>
      <c r="C21" s="5" t="inlineStr">
        <is>
          <t>Rơ le trung gian 14 chân 220V</t>
        </is>
      </c>
      <c r="D21" s="5" t="inlineStr">
        <is>
          <t>Cuộn hút 220VAC; Tiếp điểm 4CO 3A; Kèm đế</t>
        </is>
      </c>
      <c r="E21" s="4" t="inlineStr">
        <is>
          <t>Cái</t>
        </is>
      </c>
      <c r="F21" s="4" t="n">
        <v>10</v>
      </c>
      <c r="G21" s="6" t="n">
        <v>95000</v>
      </c>
      <c r="H21" s="6">
        <f>F21*G21</f>
        <v/>
      </c>
      <c r="I21" s="4" t="inlineStr">
        <is>
          <t>Nhật Bản</t>
        </is>
      </c>
    </row>
    <row r="22">
      <c r="A22" s="4" t="n">
        <v>13</v>
      </c>
      <c r="B22" s="5" t="inlineStr">
        <is>
          <t>PLC-S7-1200</t>
        </is>
      </c>
      <c r="C22" s="5" t="inlineStr">
        <is>
          <t>Bộ điều khiển PLC CPU 1214C</t>
        </is>
      </c>
      <c r="D22" s="5" t="inlineStr">
        <is>
          <t>14DI/10DO/2AI; Nguồn 24V DC; Cổng Profinet; Bộ nhớ 100KB</t>
        </is>
      </c>
      <c r="E22" s="4" t="inlineStr">
        <is>
          <t>Bộ</t>
        </is>
      </c>
      <c r="F22" s="4" t="n">
        <v>2</v>
      </c>
      <c r="G22" s="6" t="n">
        <v>8900000</v>
      </c>
      <c r="H22" s="6">
        <f>F22*G22</f>
        <v/>
      </c>
      <c r="I22" s="4" t="inlineStr">
        <is>
          <t>Đức</t>
        </is>
      </c>
    </row>
    <row r="23">
      <c r="A23" s="4" t="n">
        <v>14</v>
      </c>
      <c r="B23" s="5" t="inlineStr">
        <is>
          <t>HMI-7IN</t>
        </is>
      </c>
      <c r="C23" s="5" t="inlineStr">
        <is>
          <t>Màn hình cảm ứng HMI 7 inch</t>
        </is>
      </c>
      <c r="D23" s="5" t="inlineStr">
        <is>
          <t>Màn hình TFT 7" 800x480; Nguồn 24V DC; Cổng Ethernet, RS485</t>
        </is>
      </c>
      <c r="E23" s="4" t="inlineStr">
        <is>
          <t>Cái</t>
        </is>
      </c>
      <c r="F23" s="4" t="n">
        <v>1</v>
      </c>
      <c r="G23" s="6" t="n">
        <v>6200000</v>
      </c>
      <c r="H23" s="6">
        <f>F23*G23</f>
        <v/>
      </c>
      <c r="I23" s="4" t="inlineStr">
        <is>
          <t>Đức</t>
        </is>
      </c>
    </row>
    <row r="24">
      <c r="A24" s="4" t="n">
        <v>15</v>
      </c>
      <c r="B24" s="5" t="inlineStr">
        <is>
          <t>BT-INV2K</t>
        </is>
      </c>
      <c r="C24" s="5" t="inlineStr">
        <is>
          <t>Biến tần 1 pha 2.2kW</t>
        </is>
      </c>
      <c r="D24" s="5" t="inlineStr">
        <is>
          <t>Đầu vào 1 pha 220VAC; Đầu ra 3 pha 0-220VAC; Công suất 2.2kW; Có RS485</t>
        </is>
      </c>
      <c r="E24" s="4" t="inlineStr">
        <is>
          <t>Bộ</t>
        </is>
      </c>
      <c r="F24" s="4" t="n">
        <v>1</v>
      </c>
      <c r="G24" s="6" t="n">
        <v>4300000</v>
      </c>
      <c r="H24" s="6">
        <f>F24*G24</f>
        <v/>
      </c>
      <c r="I24" s="4" t="inlineStr">
        <is>
          <t>Nhật Bản</t>
        </is>
      </c>
    </row>
    <row r="25">
      <c r="A25" s="4" t="n">
        <v>16</v>
      </c>
      <c r="B25" s="5" t="inlineStr">
        <is>
          <t>BT-INV7K</t>
        </is>
      </c>
      <c r="C25" s="5" t="inlineStr">
        <is>
          <t>Biến tần 3 pha 7.5kW</t>
        </is>
      </c>
      <c r="D25" s="5" t="inlineStr">
        <is>
          <t>Đầu vào 3 pha 380VAC; Công suất 7.5kW; Điều khiển vector</t>
        </is>
      </c>
      <c r="E25" s="4" t="inlineStr">
        <is>
          <t>Bộ</t>
        </is>
      </c>
      <c r="F25" s="4" t="n">
        <v>5</v>
      </c>
      <c r="G25" s="6" t="n">
        <v>11500000</v>
      </c>
      <c r="H25" s="6">
        <f>F25*G25</f>
        <v/>
      </c>
      <c r="I25" s="4" t="inlineStr">
        <is>
          <t>Nhật Bản</t>
        </is>
      </c>
    </row>
    <row r="26">
      <c r="A26" s="4" t="n">
        <v>17</v>
      </c>
      <c r="B26" s="5" t="inlineStr">
        <is>
          <t>DC-DL15</t>
        </is>
      </c>
      <c r="C26" s="5" t="inlineStr">
        <is>
          <t>Dây cáp điện CVV 2x1.5mm2</t>
        </is>
      </c>
      <c r="D26" s="5" t="inlineStr">
        <is>
          <t>Ruột đồng; Cách điện PVC; Điện áp 0.6/1kV</t>
        </is>
      </c>
      <c r="E26" s="4" t="inlineStr">
        <is>
          <t>Mét</t>
        </is>
      </c>
      <c r="F26" s="4" t="n">
        <v>5</v>
      </c>
      <c r="G26" s="6" t="n">
        <v>18500</v>
      </c>
      <c r="H26" s="6">
        <f>F26*G26</f>
        <v/>
      </c>
      <c r="I26" s="4" t="inlineStr">
        <is>
          <t>Việt Nam</t>
        </is>
      </c>
    </row>
    <row r="27">
      <c r="A27" s="4" t="n">
        <v>18</v>
      </c>
      <c r="B27" s="5" t="inlineStr">
        <is>
          <t>DC-DL25</t>
        </is>
      </c>
      <c r="C27" s="5" t="inlineStr">
        <is>
          <t>Dây cáp điện CVV 2x2.5mm2</t>
        </is>
      </c>
      <c r="D27" s="5" t="inlineStr">
        <is>
          <t>Ruột đồng; Cách điện PVC; Điện áp 0.6/1kV</t>
        </is>
      </c>
      <c r="E27" s="4" t="inlineStr">
        <is>
          <t>Mét</t>
        </is>
      </c>
      <c r="F27" s="4" t="n">
        <v>1</v>
      </c>
      <c r="G27" s="6" t="n">
        <v>27500</v>
      </c>
      <c r="H27" s="6">
        <f>F27*G27</f>
        <v/>
      </c>
      <c r="I27" s="4" t="inlineStr">
        <is>
          <t>Việt Nam</t>
        </is>
      </c>
    </row>
    <row r="28">
      <c r="A28" s="4" t="n">
        <v>19</v>
      </c>
      <c r="B28" s="5" t="inlineStr">
        <is>
          <t>DC-RS485</t>
        </is>
      </c>
      <c r="C28" s="5" t="inlineStr">
        <is>
          <t>Cáp tín hiệu RS485 chống nhiễu</t>
        </is>
      </c>
      <c r="D28" s="5" t="inlineStr">
        <is>
          <t>2 lõi xoắn đôi 0.5mm2; Có lưới chống nhiễu; Trở kháng 120Ω</t>
        </is>
      </c>
      <c r="E28" s="4" t="inlineStr">
        <is>
          <t>Mét</t>
        </is>
      </c>
      <c r="F28" s="4" t="n">
        <v>2</v>
      </c>
      <c r="G28" s="6" t="n">
        <v>22000</v>
      </c>
      <c r="H28" s="6">
        <f>F28*G28</f>
        <v/>
      </c>
      <c r="I28" s="4" t="inlineStr">
        <is>
          <t>Việt Nam</t>
        </is>
      </c>
    </row>
    <row r="29">
      <c r="A29" s="4" t="n">
        <v>20</v>
      </c>
      <c r="B29" s="5" t="inlineStr">
        <is>
          <t>TD-600</t>
        </is>
      </c>
      <c r="C29" s="5" t="inlineStr">
        <is>
          <t>Tủ điện sơn tĩnh điện 600x400x200</t>
        </is>
      </c>
      <c r="D29" s="5" t="inlineStr">
        <is>
          <t>Tôn dày 1.2mm; Sơn tĩnh điện; Cấp bảo vệ IP54</t>
        </is>
      </c>
      <c r="E29" s="4" t="inlineStr">
        <is>
          <t>Cái</t>
        </is>
      </c>
      <c r="F29" s="4" t="n">
        <v>1</v>
      </c>
      <c r="G29" s="6" t="n">
        <v>1250000</v>
      </c>
      <c r="H29" s="6">
        <f>F29*G29</f>
        <v/>
      </c>
      <c r="I29" s="4" t="inlineStr">
        <is>
          <t>Việt Nam</t>
        </is>
      </c>
    </row>
    <row r="30">
      <c r="A30" s="4" t="n">
        <v>21</v>
      </c>
      <c r="B30" s="5" t="inlineStr">
        <is>
          <t>TD-800</t>
        </is>
      </c>
      <c r="C30" s="5" t="inlineStr">
        <is>
          <t>Tủ điện sơn tĩnh điện 800x600x250</t>
        </is>
      </c>
      <c r="D30" s="5" t="inlineStr">
        <is>
          <t>Tôn dày 1.5mm; Sơn tĩnh điện; Cấp bảo vệ IP54</t>
        </is>
      </c>
      <c r="E30" s="4" t="inlineStr">
        <is>
          <t>Cái</t>
        </is>
      </c>
      <c r="F30" s="4" t="n">
        <v>10</v>
      </c>
      <c r="G30" s="6" t="n">
        <v>2150000</v>
      </c>
      <c r="H30" s="6">
        <f>F30*G30</f>
        <v/>
      </c>
      <c r="I30" s="4" t="inlineStr">
        <is>
          <t>Việt Nam</t>
        </is>
      </c>
    </row>
    <row r="31">
      <c r="A31" s="4" t="n">
        <v>22</v>
      </c>
      <c r="B31" s="5" t="inlineStr">
        <is>
          <t>DB-LED22</t>
        </is>
      </c>
      <c r="C31" s="5" t="inlineStr">
        <is>
          <t>Đèn báo pha LED phi 22</t>
        </is>
      </c>
      <c r="D31" s="5" t="inlineStr">
        <is>
          <t>Điện áp 220VAC; Màu đỏ/xanh/vàng</t>
        </is>
      </c>
      <c r="E31" s="4" t="inlineStr">
        <is>
          <t>Cái</t>
        </is>
      </c>
      <c r="F31" s="4" t="n">
        <v>5</v>
      </c>
      <c r="G31" s="6" t="n">
        <v>25000</v>
      </c>
      <c r="H31" s="6">
        <f>F31*G31</f>
        <v/>
      </c>
      <c r="I31" s="4" t="inlineStr">
        <is>
          <t>Trung Quốc</t>
        </is>
      </c>
    </row>
    <row r="32">
      <c r="A32" s="4" t="n">
        <v>23</v>
      </c>
      <c r="B32" s="5" t="inlineStr">
        <is>
          <t>NB-DUNG22</t>
        </is>
      </c>
      <c r="C32" s="5" t="inlineStr">
        <is>
          <t>Nút nhấn dừng khẩn cấp phi 22</t>
        </is>
      </c>
      <c r="D32" s="5" t="inlineStr">
        <is>
          <t>1NC; Điện áp 220VAC; Màu đỏ</t>
        </is>
      </c>
      <c r="E32" s="4" t="inlineStr">
        <is>
          <t>Cái</t>
        </is>
      </c>
      <c r="F32" s="4" t="n">
        <v>1</v>
      </c>
      <c r="G32" s="6" t="n">
        <v>55000</v>
      </c>
      <c r="H32" s="6">
        <f>F32*G32</f>
        <v/>
      </c>
      <c r="I32" s="4" t="inlineStr">
        <is>
          <t>Đài Loan</t>
        </is>
      </c>
    </row>
    <row r="33">
      <c r="A33" s="4" t="n">
        <v>24</v>
      </c>
      <c r="B33" s="5" t="inlineStr">
        <is>
          <t>QG-12038</t>
        </is>
      </c>
      <c r="C33" s="5" t="inlineStr">
        <is>
          <t>Quạt hút tủ điện 120x120x38</t>
        </is>
      </c>
      <c r="D33" s="5" t="inlineStr">
        <is>
          <t>Điện áp 220VAC; Lưu lượng 100CFM; Kèm lưới lọc</t>
        </is>
      </c>
      <c r="E33" s="4" t="inlineStr">
        <is>
          <t>Cái</t>
        </is>
      </c>
      <c r="F33" s="4" t="n">
        <v>10</v>
      </c>
      <c r="G33" s="6" t="n">
        <v>145000</v>
      </c>
      <c r="H33" s="6">
        <f>F33*G33</f>
        <v/>
      </c>
      <c r="I33" s="4" t="inlineStr">
        <is>
          <t>Đài Loan</t>
        </is>
      </c>
    </row>
    <row r="34">
      <c r="A34" s="4" t="n">
        <v>25</v>
      </c>
      <c r="B34" s="5" t="inlineStr">
        <is>
          <t>DH-VA96</t>
        </is>
      </c>
      <c r="C34" s="5" t="inlineStr">
        <is>
          <t>Đồng hồ đa năng V-A-kW</t>
        </is>
      </c>
      <c r="D34" s="5" t="inlineStr">
        <is>
          <t>Đo V, A, Hz, kW, kWh; Nguồn 220VAC; RS485 Modbus</t>
        </is>
      </c>
      <c r="E34" s="4" t="inlineStr">
        <is>
          <t>Cái</t>
        </is>
      </c>
      <c r="F34" s="4" t="n">
        <v>1</v>
      </c>
      <c r="G34" s="6" t="n">
        <v>1350000</v>
      </c>
      <c r="H34" s="6">
        <f>F34*G34</f>
        <v/>
      </c>
      <c r="I34" s="4" t="inlineStr">
        <is>
          <t>Hàn Quốc</t>
        </is>
      </c>
    </row>
    <row r="35">
      <c r="A35" s="4" t="n">
        <v>26</v>
      </c>
      <c r="B35" s="5" t="inlineStr">
        <is>
          <t>UPS-1K</t>
        </is>
      </c>
      <c r="C35" s="5" t="inlineStr">
        <is>
          <t>Bộ lưu điện UPS 1kVA</t>
        </is>
      </c>
      <c r="D35" s="5" t="inlineStr">
        <is>
          <t>Online double conversion; 1kVA/900W; Ắc quy 3x12V 9Ah</t>
        </is>
      </c>
      <c r="E35" s="4" t="inlineStr">
        <is>
          <t>Bộ</t>
        </is>
      </c>
      <c r="F35" s="4" t="n">
        <v>2</v>
      </c>
      <c r="G35" s="6" t="n">
        <v>5600000</v>
      </c>
      <c r="H35" s="6">
        <f>F35*G35</f>
        <v/>
      </c>
      <c r="I35" s="4" t="inlineStr">
        <is>
          <t>Đài Loan</t>
        </is>
      </c>
    </row>
    <row r="36">
      <c r="A36" s="4" t="n">
        <v>27</v>
      </c>
      <c r="B36" s="5" t="inlineStr">
        <is>
          <t>SW-8P</t>
        </is>
      </c>
      <c r="C36" s="5" t="inlineStr">
        <is>
          <t>Switch mạng công nghiệp 8 cổng</t>
        </is>
      </c>
      <c r="D36" s="5" t="inlineStr">
        <is>
          <t>8 cổng 10/100Mbps; Nguồn 12-48V DC; Gắn ray DIN</t>
        </is>
      </c>
      <c r="E36" s="4" t="inlineStr">
        <is>
          <t>Cái</t>
        </is>
      </c>
      <c r="F36" s="4" t="n">
        <v>20</v>
      </c>
      <c r="G36" s="6" t="n">
        <v>2400000</v>
      </c>
      <c r="H36" s="6">
        <f>F36*G36</f>
        <v/>
      </c>
      <c r="I36" s="4" t="inlineStr">
        <is>
          <t>Đài Loan</t>
        </is>
      </c>
    </row>
    <row r="37">
      <c r="A37" s="4" t="n">
        <v>28</v>
      </c>
      <c r="B37" s="5" t="inlineStr">
        <is>
          <t>CAM-IP4M</t>
        </is>
      </c>
      <c r="C37" s="5" t="inlineStr">
        <is>
          <t>Camera IP 4MP hồng ngoại</t>
        </is>
      </c>
      <c r="D37" s="5" t="inlineStr">
        <is>
          <t>Độ phân giải 4MP; Hồng ngoại 30m; Chuẩn IP67; PoE</t>
        </is>
      </c>
      <c r="E37" s="4" t="inlineStr">
        <is>
          <t>Cái</t>
        </is>
      </c>
      <c r="F37" s="4" t="n">
        <v>20</v>
      </c>
      <c r="G37" s="6" t="n">
        <v>1750000</v>
      </c>
      <c r="H37" s="6">
        <f>F37*G37</f>
        <v/>
      </c>
      <c r="I37" s="4" t="inlineStr">
        <is>
          <t>Trung Quốc</t>
        </is>
      </c>
    </row>
    <row r="38">
      <c r="A38" s="4" t="n">
        <v>29</v>
      </c>
      <c r="B38" s="5" t="inlineStr">
        <is>
          <t>LT-DIN35</t>
        </is>
      </c>
      <c r="C38" s="5" t="inlineStr">
        <is>
          <t>Thanh ray DIN 35mm</t>
        </is>
      </c>
      <c r="D38" s="5" t="inlineStr">
        <is>
          <t>Thép mạ kẽm; Dài 1m</t>
        </is>
      </c>
      <c r="E38" s="4" t="inlineStr">
        <is>
          <t>Thanh</t>
        </is>
      </c>
      <c r="F38" s="4" t="n">
        <v>10</v>
      </c>
      <c r="G38" s="6" t="n">
        <v>30000</v>
      </c>
      <c r="H38" s="6">
        <f>F38*G38</f>
        <v/>
      </c>
      <c r="I38" s="4" t="inlineStr">
        <is>
          <t>Việt Nam</t>
        </is>
      </c>
    </row>
    <row r="39">
      <c r="A39" s="4" t="n">
        <v>30</v>
      </c>
      <c r="B39" s="5" t="inlineStr">
        <is>
          <t>CL-6P</t>
        </is>
      </c>
      <c r="C39" s="5" t="inlineStr">
        <is>
          <t>Cầu đấu dây 6mm2</t>
        </is>
      </c>
      <c r="D39" s="5" t="inlineStr">
        <is>
          <t>Dòng 41A; Điện áp 800V; Gắn ray DIN</t>
        </is>
      </c>
      <c r="E39" s="4" t="inlineStr">
        <is>
          <t>Cái</t>
        </is>
      </c>
      <c r="F39" s="4" t="n">
        <v>1</v>
      </c>
      <c r="G39" s="6" t="n">
        <v>12000</v>
      </c>
      <c r="H39" s="6">
        <f>F39*G39</f>
        <v/>
      </c>
      <c r="I39" s="4" t="inlineStr">
        <is>
          <t>Trung Quốc</t>
        </is>
      </c>
    </row>
    <row r="40">
      <c r="A40" s="7" t="inlineStr">
        <is>
          <t>Cộng tiền hàng</t>
        </is>
      </c>
      <c r="B40" s="8" t="n"/>
      <c r="C40" s="8" t="n"/>
      <c r="D40" s="8" t="n"/>
      <c r="E40" s="8" t="n"/>
      <c r="F40" s="8" t="n"/>
      <c r="G40" s="8" t="n"/>
      <c r="H40" s="9">
        <f>SUM(H10:H39)</f>
        <v/>
      </c>
      <c r="I40" s="8" t="n"/>
    </row>
    <row r="41">
      <c r="A41" s="7" t="inlineStr">
        <is>
          <t>Thuế VAT 10%</t>
        </is>
      </c>
      <c r="B41" s="8" t="n"/>
      <c r="C41" s="8" t="n"/>
      <c r="D41" s="8" t="n"/>
      <c r="E41" s="8" t="n"/>
      <c r="F41" s="8" t="n"/>
      <c r="G41" s="8" t="n"/>
      <c r="H41" s="9">
        <f>H40*10%</f>
        <v/>
      </c>
      <c r="I41" s="8" t="n"/>
    </row>
    <row r="42">
      <c r="A42" s="10" t="inlineStr">
        <is>
          <t>Tổng cộng</t>
        </is>
      </c>
      <c r="B42" s="8" t="n"/>
      <c r="C42" s="8" t="n"/>
      <c r="D42" s="8" t="n"/>
      <c r="E42" s="8" t="n"/>
      <c r="F42" s="8" t="n"/>
      <c r="G42" s="8" t="n"/>
      <c r="H42" s="11">
        <f>H40+H41</f>
        <v/>
      </c>
      <c r="I42" s="8" t="n"/>
    </row>
    <row r="43">
      <c r="A43" s="12" t="inlineStr">
        <is>
          <t>Bằng chữ: ..........................................................</t>
        </is>
      </c>
    </row>
    <row r="45">
      <c r="B45" t="inlineStr">
        <is>
          <t>Ghi chú: Báo giá có hiệu lực trong 30 ngày. Giao hàng trong 7 ngày làm việc.</t>
        </is>
      </c>
    </row>
    <row r="47">
      <c r="B47" s="13" t="inlineStr">
        <is>
          <t>NGƯỜI LẬP</t>
        </is>
      </c>
      <c r="G47" s="13" t="inlineStr">
        <is>
          <t>GIÁM ĐỐC</t>
        </is>
      </c>
    </row>
  </sheetData>
  <mergeCells count="10">
    <mergeCell ref="G47:I47"/>
    <mergeCell ref="A43:I43"/>
    <mergeCell ref="B47:C47"/>
    <mergeCell ref="A40:G40"/>
    <mergeCell ref="C3:I3"/>
    <mergeCell ref="A5:I5"/>
    <mergeCell ref="C2:I2"/>
    <mergeCell ref="C1:I1"/>
    <mergeCell ref="A41:G41"/>
    <mergeCell ref="A42:G4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2026-10-14T04:26:19Z</dcterms:created>
  <dcterms:modified xmlns:dcterms="http://purl.org/dc/terms/" xmlns:xsi="http://www.w3.org/2001/XMLSchema-instance" xsi:type="dcterms:W3CDTF">2026-10-14T04:26:19Z</dcterms:modified>
</cp:coreProperties>
</file>